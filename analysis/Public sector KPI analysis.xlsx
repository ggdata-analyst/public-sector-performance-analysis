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rma\Desktop\"/>
    </mc:Choice>
  </mc:AlternateContent>
  <xr:revisionPtr revIDLastSave="0" documentId="8_{69D5A6EA-C059-4CC2-B472-E2663149610A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Data &amp; Charts" sheetId="1" r:id="rId1"/>
    <sheet name="KPI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2" i="2"/>
  <c r="A3" i="2"/>
  <c r="A4" i="2"/>
  <c r="A5" i="2"/>
  <c r="A6" i="2"/>
  <c r="A7" i="2"/>
  <c r="A8" i="2"/>
  <c r="A9" i="2"/>
  <c r="A10" i="2"/>
  <c r="A11" i="2"/>
  <c r="A2" i="2"/>
</calcChain>
</file>

<file path=xl/sharedStrings.xml><?xml version="1.0" encoding="utf-8"?>
<sst xmlns="http://schemas.openxmlformats.org/spreadsheetml/2006/main" count="19" uniqueCount="10">
  <si>
    <t>Year</t>
  </si>
  <si>
    <t>Sector</t>
  </si>
  <si>
    <t>Education</t>
  </si>
  <si>
    <t>Budget Utilization Rate</t>
  </si>
  <si>
    <t>Covarage Gap</t>
  </si>
  <si>
    <t>Budget Utilized Million ETB</t>
  </si>
  <si>
    <t>Target Coverage Percent</t>
  </si>
  <si>
    <t>Actual Coverage Percent</t>
  </si>
  <si>
    <t>Schools Built</t>
  </si>
  <si>
    <t>Budget Allocated Million ETB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</si>
</sst>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43" fontId="3" fillId="0" borderId="1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12"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Budget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'Data &amp; Charts'!$C$1</c:f>
              <c:strCache>
                <c:ptCount val="1"/>
                <c:pt idx="0">
                  <c:v>Budget Allocated Million ETB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multiLvlStrRef>
              <c:f>'Data &amp; Charts'!$A$2:$B$11</c:f>
              <c:multiLvlStrCache>
                <c:ptCount val="10"/>
                <c:lvl>
                  <c:pt idx="0">
                    <c:v>Education</c:v>
                  </c:pt>
                  <c:pt idx="1">
                    <c:v>Education</c:v>
                  </c:pt>
                  <c:pt idx="2">
                    <c:v>Education</c:v>
                  </c:pt>
                  <c:pt idx="3">
                    <c:v>Education</c:v>
                  </c:pt>
                  <c:pt idx="4">
                    <c:v>Education</c:v>
                  </c:pt>
                  <c:pt idx="5">
                    <c:v>Education</c:v>
                  </c:pt>
                  <c:pt idx="6">
                    <c:v>Education</c:v>
                  </c:pt>
                  <c:pt idx="7">
                    <c:v>Education</c:v>
                  </c:pt>
                  <c:pt idx="8">
                    <c:v>Education</c:v>
                  </c:pt>
                  <c:pt idx="9">
                    <c:v>Education</c:v>
                  </c:pt>
                </c:lvl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'Data &amp; Charts'!$C$2:$C$11</c:f>
              <c:numCache>
                <c:formatCode>General</c:formatCode>
                <c:ptCount val="10"/>
                <c:pt idx="0">
                  <c:v>120</c:v>
                </c:pt>
                <c:pt idx="1">
                  <c:v>130</c:v>
                </c:pt>
                <c:pt idx="2">
                  <c:v>145</c:v>
                </c:pt>
                <c:pt idx="3">
                  <c:v>160</c:v>
                </c:pt>
                <c:pt idx="4">
                  <c:v>170</c:v>
                </c:pt>
                <c:pt idx="5">
                  <c:v>185</c:v>
                </c:pt>
                <c:pt idx="6">
                  <c:v>200</c:v>
                </c:pt>
                <c:pt idx="7">
                  <c:v>215</c:v>
                </c:pt>
                <c:pt idx="8">
                  <c:v>230</c:v>
                </c:pt>
                <c:pt idx="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42-4279-9038-188C5CB905E7}"/>
            </c:ext>
          </c:extLst>
        </c:ser>
        <c:ser>
          <c:idx val="1"/>
          <c:order val="1"/>
          <c:tx>
            <c:strRef>
              <c:f>'Data &amp; Charts'!$D$1</c:f>
              <c:strCache>
                <c:ptCount val="1"/>
                <c:pt idx="0">
                  <c:v>Budget Utilized Million ETB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multiLvlStrRef>
              <c:f>'Data &amp; Charts'!$A$2:$B$11</c:f>
              <c:multiLvlStrCache>
                <c:ptCount val="10"/>
                <c:lvl>
                  <c:pt idx="0">
                    <c:v>Education</c:v>
                  </c:pt>
                  <c:pt idx="1">
                    <c:v>Education</c:v>
                  </c:pt>
                  <c:pt idx="2">
                    <c:v>Education</c:v>
                  </c:pt>
                  <c:pt idx="3">
                    <c:v>Education</c:v>
                  </c:pt>
                  <c:pt idx="4">
                    <c:v>Education</c:v>
                  </c:pt>
                  <c:pt idx="5">
                    <c:v>Education</c:v>
                  </c:pt>
                  <c:pt idx="6">
                    <c:v>Education</c:v>
                  </c:pt>
                  <c:pt idx="7">
                    <c:v>Education</c:v>
                  </c:pt>
                  <c:pt idx="8">
                    <c:v>Education</c:v>
                  </c:pt>
                  <c:pt idx="9">
                    <c:v>Education</c:v>
                  </c:pt>
                </c:lvl>
                <c:lvl>
                  <c:pt idx="0">
                    <c:v>2015</c:v>
                  </c:pt>
                  <c:pt idx="1">
                    <c:v>2016</c:v>
                  </c:pt>
                  <c:pt idx="2">
                    <c:v>2017</c:v>
                  </c:pt>
                  <c:pt idx="3">
                    <c:v>2018</c:v>
                  </c:pt>
                  <c:pt idx="4">
                    <c:v>2019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2023</c:v>
                  </c:pt>
                  <c:pt idx="9">
                    <c:v>2024</c:v>
                  </c:pt>
                </c:lvl>
              </c:multiLvlStrCache>
            </c:multiLvlStrRef>
          </c:cat>
          <c:val>
            <c:numRef>
              <c:f>'Data &amp; Charts'!$D$2:$D$11</c:f>
              <c:numCache>
                <c:formatCode>General</c:formatCode>
                <c:ptCount val="10"/>
                <c:pt idx="0">
                  <c:v>110</c:v>
                </c:pt>
                <c:pt idx="1">
                  <c:v>125</c:v>
                </c:pt>
                <c:pt idx="2">
                  <c:v>138</c:v>
                </c:pt>
                <c:pt idx="3">
                  <c:v>150</c:v>
                </c:pt>
                <c:pt idx="4">
                  <c:v>165</c:v>
                </c:pt>
                <c:pt idx="5">
                  <c:v>175</c:v>
                </c:pt>
                <c:pt idx="6">
                  <c:v>190</c:v>
                </c:pt>
                <c:pt idx="7">
                  <c:v>205</c:v>
                </c:pt>
                <c:pt idx="8">
                  <c:v>220</c:v>
                </c:pt>
                <c:pt idx="9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42-4279-9038-188C5CB90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0226607"/>
        <c:axId val="123022180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'Data &amp; Charts'!$E$1</c15:sqref>
                        </c15:formulaRef>
                      </c:ext>
                    </c:extLst>
                    <c:strCache>
                      <c:ptCount val="1"/>
                      <c:pt idx="0">
                        <c:v>Target Coverage Percent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'Data &amp; Charts'!$A$2:$B$11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Education</c:v>
                        </c:pt>
                        <c:pt idx="1">
                          <c:v>Education</c:v>
                        </c:pt>
                        <c:pt idx="2">
                          <c:v>Education</c:v>
                        </c:pt>
                        <c:pt idx="3">
                          <c:v>Education</c:v>
                        </c:pt>
                        <c:pt idx="4">
                          <c:v>Education</c:v>
                        </c:pt>
                        <c:pt idx="5">
                          <c:v>Education</c:v>
                        </c:pt>
                        <c:pt idx="6">
                          <c:v>Education</c:v>
                        </c:pt>
                        <c:pt idx="7">
                          <c:v>Education</c:v>
                        </c:pt>
                        <c:pt idx="8">
                          <c:v>Education</c:v>
                        </c:pt>
                        <c:pt idx="9">
                          <c:v>Education</c:v>
                        </c:pt>
                      </c:lvl>
                      <c:lvl>
                        <c:pt idx="0">
                          <c:v>2015</c:v>
                        </c:pt>
                        <c:pt idx="1">
                          <c:v>2016</c:v>
                        </c:pt>
                        <c:pt idx="2">
                          <c:v>2017</c:v>
                        </c:pt>
                        <c:pt idx="3">
                          <c:v>2018</c:v>
                        </c:pt>
                        <c:pt idx="4">
                          <c:v>2019</c:v>
                        </c:pt>
                        <c:pt idx="5">
                          <c:v>2020</c:v>
                        </c:pt>
                        <c:pt idx="6">
                          <c:v>2021</c:v>
                        </c:pt>
                        <c:pt idx="7">
                          <c:v>2022</c:v>
                        </c:pt>
                        <c:pt idx="8">
                          <c:v>2023</c:v>
                        </c:pt>
                        <c:pt idx="9">
                          <c:v>2024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'Data &amp; Charts'!$E$2:$E$11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65</c:v>
                      </c:pt>
                      <c:pt idx="1">
                        <c:v>68</c:v>
                      </c:pt>
                      <c:pt idx="2">
                        <c:v>70</c:v>
                      </c:pt>
                      <c:pt idx="3">
                        <c:v>72</c:v>
                      </c:pt>
                      <c:pt idx="4">
                        <c:v>75</c:v>
                      </c:pt>
                      <c:pt idx="5">
                        <c:v>78</c:v>
                      </c:pt>
                      <c:pt idx="6">
                        <c:v>80</c:v>
                      </c:pt>
                      <c:pt idx="7">
                        <c:v>82</c:v>
                      </c:pt>
                      <c:pt idx="8">
                        <c:v>85</c:v>
                      </c:pt>
                      <c:pt idx="9">
                        <c:v>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942-4279-9038-188C5CB905E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&amp; Charts'!$F$1</c15:sqref>
                        </c15:formulaRef>
                      </c:ext>
                    </c:extLst>
                    <c:strCache>
                      <c:ptCount val="1"/>
                      <c:pt idx="0">
                        <c:v>Actual Coverage Percent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'Data &amp; Charts'!$A$2:$B$11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Education</c:v>
                        </c:pt>
                        <c:pt idx="1">
                          <c:v>Education</c:v>
                        </c:pt>
                        <c:pt idx="2">
                          <c:v>Education</c:v>
                        </c:pt>
                        <c:pt idx="3">
                          <c:v>Education</c:v>
                        </c:pt>
                        <c:pt idx="4">
                          <c:v>Education</c:v>
                        </c:pt>
                        <c:pt idx="5">
                          <c:v>Education</c:v>
                        </c:pt>
                        <c:pt idx="6">
                          <c:v>Education</c:v>
                        </c:pt>
                        <c:pt idx="7">
                          <c:v>Education</c:v>
                        </c:pt>
                        <c:pt idx="8">
                          <c:v>Education</c:v>
                        </c:pt>
                        <c:pt idx="9">
                          <c:v>Education</c:v>
                        </c:pt>
                      </c:lvl>
                      <c:lvl>
                        <c:pt idx="0">
                          <c:v>2015</c:v>
                        </c:pt>
                        <c:pt idx="1">
                          <c:v>2016</c:v>
                        </c:pt>
                        <c:pt idx="2">
                          <c:v>2017</c:v>
                        </c:pt>
                        <c:pt idx="3">
                          <c:v>2018</c:v>
                        </c:pt>
                        <c:pt idx="4">
                          <c:v>2019</c:v>
                        </c:pt>
                        <c:pt idx="5">
                          <c:v>2020</c:v>
                        </c:pt>
                        <c:pt idx="6">
                          <c:v>2021</c:v>
                        </c:pt>
                        <c:pt idx="7">
                          <c:v>2022</c:v>
                        </c:pt>
                        <c:pt idx="8">
                          <c:v>2023</c:v>
                        </c:pt>
                        <c:pt idx="9">
                          <c:v>2024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&amp; Charts'!$F$2:$F$11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60</c:v>
                      </c:pt>
                      <c:pt idx="1">
                        <c:v>66</c:v>
                      </c:pt>
                      <c:pt idx="2">
                        <c:v>69</c:v>
                      </c:pt>
                      <c:pt idx="3">
                        <c:v>70</c:v>
                      </c:pt>
                      <c:pt idx="4">
                        <c:v>73</c:v>
                      </c:pt>
                      <c:pt idx="5">
                        <c:v>76</c:v>
                      </c:pt>
                      <c:pt idx="6">
                        <c:v>78</c:v>
                      </c:pt>
                      <c:pt idx="7">
                        <c:v>80</c:v>
                      </c:pt>
                      <c:pt idx="8">
                        <c:v>83</c:v>
                      </c:pt>
                      <c:pt idx="9">
                        <c:v>86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0942-4279-9038-188C5CB905E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'Data &amp; Charts'!$G$1</c15:sqref>
                        </c15:formulaRef>
                      </c:ext>
                    </c:extLst>
                    <c:strCache>
                      <c:ptCount val="1"/>
                      <c:pt idx="0">
                        <c:v>Schools Built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multiLvlStrRef>
                    <c:extLst>
                      <c:ext xmlns:c15="http://schemas.microsoft.com/office/drawing/2012/chart" uri="{02D57815-91ED-43cb-92C2-25804820EDAC}">
                        <c15:formulaRef>
                          <c15:sqref>'Data &amp; Charts'!$A$2:$B$11</c15:sqref>
                        </c15:formulaRef>
                      </c:ext>
                    </c:extLst>
                    <c:multiLvlStrCache>
                      <c:ptCount val="10"/>
                      <c:lvl>
                        <c:pt idx="0">
                          <c:v>Education</c:v>
                        </c:pt>
                        <c:pt idx="1">
                          <c:v>Education</c:v>
                        </c:pt>
                        <c:pt idx="2">
                          <c:v>Education</c:v>
                        </c:pt>
                        <c:pt idx="3">
                          <c:v>Education</c:v>
                        </c:pt>
                        <c:pt idx="4">
                          <c:v>Education</c:v>
                        </c:pt>
                        <c:pt idx="5">
                          <c:v>Education</c:v>
                        </c:pt>
                        <c:pt idx="6">
                          <c:v>Education</c:v>
                        </c:pt>
                        <c:pt idx="7">
                          <c:v>Education</c:v>
                        </c:pt>
                        <c:pt idx="8">
                          <c:v>Education</c:v>
                        </c:pt>
                        <c:pt idx="9">
                          <c:v>Education</c:v>
                        </c:pt>
                      </c:lvl>
                      <c:lvl>
                        <c:pt idx="0">
                          <c:v>2015</c:v>
                        </c:pt>
                        <c:pt idx="1">
                          <c:v>2016</c:v>
                        </c:pt>
                        <c:pt idx="2">
                          <c:v>2017</c:v>
                        </c:pt>
                        <c:pt idx="3">
                          <c:v>2018</c:v>
                        </c:pt>
                        <c:pt idx="4">
                          <c:v>2019</c:v>
                        </c:pt>
                        <c:pt idx="5">
                          <c:v>2020</c:v>
                        </c:pt>
                        <c:pt idx="6">
                          <c:v>2021</c:v>
                        </c:pt>
                        <c:pt idx="7">
                          <c:v>2022</c:v>
                        </c:pt>
                        <c:pt idx="8">
                          <c:v>2023</c:v>
                        </c:pt>
                        <c:pt idx="9">
                          <c:v>2024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'Data &amp; Charts'!$G$2:$G$11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45</c:v>
                      </c:pt>
                      <c:pt idx="1">
                        <c:v>48</c:v>
                      </c:pt>
                      <c:pt idx="2">
                        <c:v>52</c:v>
                      </c:pt>
                      <c:pt idx="3">
                        <c:v>55</c:v>
                      </c:pt>
                      <c:pt idx="4">
                        <c:v>58</c:v>
                      </c:pt>
                      <c:pt idx="5">
                        <c:v>60</c:v>
                      </c:pt>
                      <c:pt idx="6">
                        <c:v>63</c:v>
                      </c:pt>
                      <c:pt idx="7">
                        <c:v>65</c:v>
                      </c:pt>
                      <c:pt idx="8">
                        <c:v>68</c:v>
                      </c:pt>
                      <c:pt idx="9">
                        <c:v>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0942-4279-9038-188C5CB905E7}"/>
                  </c:ext>
                </c:extLst>
              </c15:ser>
            </c15:filteredLineSeries>
          </c:ext>
        </c:extLst>
      </c:lineChart>
      <c:catAx>
        <c:axId val="123022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21807"/>
        <c:crosses val="autoZero"/>
        <c:auto val="1"/>
        <c:lblAlgn val="ctr"/>
        <c:lblOffset val="100"/>
        <c:noMultiLvlLbl val="0"/>
      </c:catAx>
      <c:valAx>
        <c:axId val="1230221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022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Coverage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&amp; Charts'!$E$1</c:f>
              <c:strCache>
                <c:ptCount val="1"/>
                <c:pt idx="0">
                  <c:v>Target Coverage Percent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'Data &amp; Charts'!$E$2:$E$11</c:f>
              <c:numCache>
                <c:formatCode>General</c:formatCode>
                <c:ptCount val="10"/>
                <c:pt idx="0">
                  <c:v>65</c:v>
                </c:pt>
                <c:pt idx="1">
                  <c:v>68</c:v>
                </c:pt>
                <c:pt idx="2">
                  <c:v>70</c:v>
                </c:pt>
                <c:pt idx="3">
                  <c:v>72</c:v>
                </c:pt>
                <c:pt idx="4">
                  <c:v>75</c:v>
                </c:pt>
                <c:pt idx="5">
                  <c:v>78</c:v>
                </c:pt>
                <c:pt idx="6">
                  <c:v>80</c:v>
                </c:pt>
                <c:pt idx="7">
                  <c:v>82</c:v>
                </c:pt>
                <c:pt idx="8">
                  <c:v>85</c:v>
                </c:pt>
                <c:pt idx="9">
                  <c:v>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94-4C30-A1B7-9F6D9DF905E5}"/>
            </c:ext>
          </c:extLst>
        </c:ser>
        <c:ser>
          <c:idx val="1"/>
          <c:order val="1"/>
          <c:tx>
            <c:strRef>
              <c:f>'Data &amp; Charts'!$F$1</c:f>
              <c:strCache>
                <c:ptCount val="1"/>
                <c:pt idx="0">
                  <c:v>Actual Coverage Percent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val>
            <c:numRef>
              <c:f>'Data &amp; Charts'!$F$2:$F$11</c:f>
              <c:numCache>
                <c:formatCode>General</c:formatCode>
                <c:ptCount val="10"/>
                <c:pt idx="0">
                  <c:v>60</c:v>
                </c:pt>
                <c:pt idx="1">
                  <c:v>66</c:v>
                </c:pt>
                <c:pt idx="2">
                  <c:v>69</c:v>
                </c:pt>
                <c:pt idx="3">
                  <c:v>70</c:v>
                </c:pt>
                <c:pt idx="4">
                  <c:v>73</c:v>
                </c:pt>
                <c:pt idx="5">
                  <c:v>76</c:v>
                </c:pt>
                <c:pt idx="6">
                  <c:v>78</c:v>
                </c:pt>
                <c:pt idx="7">
                  <c:v>80</c:v>
                </c:pt>
                <c:pt idx="8">
                  <c:v>83</c:v>
                </c:pt>
                <c:pt idx="9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94-4C30-A1B7-9F6D9DF90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9272031"/>
        <c:axId val="1499259551"/>
      </c:lineChart>
      <c:catAx>
        <c:axId val="1499272031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59551"/>
        <c:crosses val="autoZero"/>
        <c:auto val="1"/>
        <c:lblAlgn val="ctr"/>
        <c:lblOffset val="100"/>
        <c:noMultiLvlLbl val="0"/>
      </c:catAx>
      <c:valAx>
        <c:axId val="1499259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7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062348936061091E-2"/>
          <c:y val="0.17171296296296296"/>
          <c:w val="0.92493765106393888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'Data &amp; Charts'!$G$1</c:f>
              <c:strCache>
                <c:ptCount val="1"/>
                <c:pt idx="0">
                  <c:v>Schools Built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'Data &amp; Charts'!$G$2:$G$11</c:f>
              <c:numCache>
                <c:formatCode>General</c:formatCode>
                <c:ptCount val="10"/>
                <c:pt idx="0">
                  <c:v>45</c:v>
                </c:pt>
                <c:pt idx="1">
                  <c:v>48</c:v>
                </c:pt>
                <c:pt idx="2">
                  <c:v>52</c:v>
                </c:pt>
                <c:pt idx="3">
                  <c:v>55</c:v>
                </c:pt>
                <c:pt idx="4">
                  <c:v>58</c:v>
                </c:pt>
                <c:pt idx="5">
                  <c:v>60</c:v>
                </c:pt>
                <c:pt idx="6">
                  <c:v>63</c:v>
                </c:pt>
                <c:pt idx="7">
                  <c:v>65</c:v>
                </c:pt>
                <c:pt idx="8">
                  <c:v>68</c:v>
                </c:pt>
                <c:pt idx="9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27-4E83-BA57-DA5B4AF5B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9231231"/>
        <c:axId val="1499227871"/>
      </c:barChart>
      <c:catAx>
        <c:axId val="149923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27871"/>
        <c:crosses val="autoZero"/>
        <c:auto val="1"/>
        <c:lblAlgn val="ctr"/>
        <c:lblOffset val="100"/>
        <c:noMultiLvlLbl val="0"/>
      </c:catAx>
      <c:valAx>
        <c:axId val="14992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23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620842</xdr:colOff>
      <xdr:row>0</xdr:row>
      <xdr:rowOff>0</xdr:rowOff>
    </xdr:from>
    <xdr:to>
      <xdr:col>14</xdr:col>
      <xdr:colOff>562239</xdr:colOff>
      <xdr:row>11</xdr:row>
      <xdr:rowOff>26458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772AB-2383-065F-BE8D-313DBAE547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6614</xdr:colOff>
      <xdr:row>11</xdr:row>
      <xdr:rowOff>27294</xdr:rowOff>
    </xdr:from>
    <xdr:to>
      <xdr:col>6</xdr:col>
      <xdr:colOff>593023</xdr:colOff>
      <xdr:row>30</xdr:row>
      <xdr:rowOff>66147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809EF7-98C8-D8F4-A48C-48DCCA99D3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588699</xdr:colOff>
      <xdr:row>11</xdr:row>
      <xdr:rowOff>7540</xdr:rowOff>
    </xdr:from>
    <xdr:to>
      <xdr:col>14</xdr:col>
      <xdr:colOff>568853</xdr:colOff>
      <xdr:row>30</xdr:row>
      <xdr:rowOff>79375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D6B42FF-E049-7DC1-6D51-7BEAB5610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B20506-CCB1-4B6A-8C73-517FE9407867}" name="Table1" displayName="Table1" ref="A1:G11" totalsRowShown="0" headerRowDxfId="1" dataDxfId="11" headerRowBorderDxfId="9" tableBorderDxfId="10" totalsRowBorderDxfId="8">
  <autoFilter ref="A1:G11" xr:uid="{04B20506-CCB1-4B6A-8C73-517FE9407867}"/>
  <tableColumns count="7">
    <tableColumn id="1" xr3:uid="{04A9CE3D-5457-42BC-B37C-FECF25595875}" name="Year" dataDxfId="0"/>
    <tableColumn id="2" xr3:uid="{F6E164E4-602A-4132-AD75-3C0C52A631E8}" name="Sector" dataDxfId="7"/>
    <tableColumn id="3" xr3:uid="{7725FAEF-E763-446F-9AA2-2E7D98A9BF97}" name="Budget Allocated Million ETB" dataDxfId="6"/>
    <tableColumn id="4" xr3:uid="{57BD1215-6355-4ABA-B670-3474D6E3CBAF}" name="Budget Utilized Million ETB" dataDxfId="5"/>
    <tableColumn id="5" xr3:uid="{F7CCCF5B-DD43-4D83-B677-F504DDC026EF}" name="Target Coverage Percent" dataDxfId="4"/>
    <tableColumn id="6" xr3:uid="{B09DF0B1-CACC-4194-AC87-656E70BDD285}" name="Actual Coverage Percent" dataDxfId="3"/>
    <tableColumn id="7" xr3:uid="{AC65CFFB-021E-4D26-ABF6-DB83C68DC391}" name="Schools Built" dataDxfId="2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view="pageBreakPreview" zoomScale="96" zoomScaleNormal="100" workbookViewId="0">
      <selection activeCell="H33" sqref="H33"/>
    </sheetView>
  </sheetViews>
  <sheetFormatPr defaultRowHeight="14" x14ac:dyDescent="0.3"/>
  <cols>
    <col min="1" max="1" width="8.7265625" style="12"/>
    <col min="2" max="2" width="12" style="3" customWidth="1"/>
    <col min="3" max="3" width="12.36328125" style="3" customWidth="1"/>
    <col min="4" max="4" width="13.6328125" style="3" customWidth="1"/>
    <col min="5" max="5" width="13.1796875" style="3" customWidth="1"/>
    <col min="6" max="6" width="12.54296875" style="3" customWidth="1"/>
    <col min="7" max="7" width="8.90625" style="3" customWidth="1"/>
    <col min="8" max="16384" width="8.7265625" style="3"/>
  </cols>
  <sheetData>
    <row r="1" spans="1:7" s="2" customFormat="1" ht="42" x14ac:dyDescent="0.35">
      <c r="A1" s="4" t="s">
        <v>0</v>
      </c>
      <c r="B1" s="1" t="s">
        <v>1</v>
      </c>
      <c r="C1" s="1" t="s">
        <v>9</v>
      </c>
      <c r="D1" s="1" t="s">
        <v>5</v>
      </c>
      <c r="E1" s="1" t="s">
        <v>6</v>
      </c>
      <c r="F1" s="1" t="s">
        <v>7</v>
      </c>
      <c r="G1" s="5" t="s">
        <v>8</v>
      </c>
    </row>
    <row r="2" spans="1:7" x14ac:dyDescent="0.3">
      <c r="A2" s="10">
        <v>2015</v>
      </c>
      <c r="B2" s="6" t="s">
        <v>2</v>
      </c>
      <c r="C2" s="6">
        <v>120</v>
      </c>
      <c r="D2" s="6">
        <v>110</v>
      </c>
      <c r="E2" s="6">
        <v>65</v>
      </c>
      <c r="F2" s="6">
        <v>60</v>
      </c>
      <c r="G2" s="7">
        <v>45</v>
      </c>
    </row>
    <row r="3" spans="1:7" x14ac:dyDescent="0.3">
      <c r="A3" s="10">
        <v>2016</v>
      </c>
      <c r="B3" s="6" t="s">
        <v>2</v>
      </c>
      <c r="C3" s="6">
        <v>130</v>
      </c>
      <c r="D3" s="6">
        <v>125</v>
      </c>
      <c r="E3" s="6">
        <v>68</v>
      </c>
      <c r="F3" s="6">
        <v>66</v>
      </c>
      <c r="G3" s="7">
        <v>48</v>
      </c>
    </row>
    <row r="4" spans="1:7" x14ac:dyDescent="0.3">
      <c r="A4" s="10">
        <v>2017</v>
      </c>
      <c r="B4" s="6" t="s">
        <v>2</v>
      </c>
      <c r="C4" s="6">
        <v>145</v>
      </c>
      <c r="D4" s="6">
        <v>138</v>
      </c>
      <c r="E4" s="6">
        <v>70</v>
      </c>
      <c r="F4" s="6">
        <v>69</v>
      </c>
      <c r="G4" s="7">
        <v>52</v>
      </c>
    </row>
    <row r="5" spans="1:7" x14ac:dyDescent="0.3">
      <c r="A5" s="10">
        <v>2018</v>
      </c>
      <c r="B5" s="6" t="s">
        <v>2</v>
      </c>
      <c r="C5" s="6">
        <v>160</v>
      </c>
      <c r="D5" s="6">
        <v>150</v>
      </c>
      <c r="E5" s="6">
        <v>72</v>
      </c>
      <c r="F5" s="6">
        <v>70</v>
      </c>
      <c r="G5" s="7">
        <v>55</v>
      </c>
    </row>
    <row r="6" spans="1:7" x14ac:dyDescent="0.3">
      <c r="A6" s="10">
        <v>2019</v>
      </c>
      <c r="B6" s="6" t="s">
        <v>2</v>
      </c>
      <c r="C6" s="6">
        <v>170</v>
      </c>
      <c r="D6" s="6">
        <v>165</v>
      </c>
      <c r="E6" s="6">
        <v>75</v>
      </c>
      <c r="F6" s="6">
        <v>73</v>
      </c>
      <c r="G6" s="7">
        <v>58</v>
      </c>
    </row>
    <row r="7" spans="1:7" x14ac:dyDescent="0.3">
      <c r="A7" s="10">
        <v>2020</v>
      </c>
      <c r="B7" s="6" t="s">
        <v>2</v>
      </c>
      <c r="C7" s="6">
        <v>185</v>
      </c>
      <c r="D7" s="6">
        <v>175</v>
      </c>
      <c r="E7" s="6">
        <v>78</v>
      </c>
      <c r="F7" s="6">
        <v>76</v>
      </c>
      <c r="G7" s="7">
        <v>60</v>
      </c>
    </row>
    <row r="8" spans="1:7" x14ac:dyDescent="0.3">
      <c r="A8" s="10">
        <v>2021</v>
      </c>
      <c r="B8" s="6" t="s">
        <v>2</v>
      </c>
      <c r="C8" s="6">
        <v>200</v>
      </c>
      <c r="D8" s="6">
        <v>190</v>
      </c>
      <c r="E8" s="6">
        <v>80</v>
      </c>
      <c r="F8" s="6">
        <v>78</v>
      </c>
      <c r="G8" s="7">
        <v>63</v>
      </c>
    </row>
    <row r="9" spans="1:7" x14ac:dyDescent="0.3">
      <c r="A9" s="10">
        <v>2022</v>
      </c>
      <c r="B9" s="6" t="s">
        <v>2</v>
      </c>
      <c r="C9" s="6">
        <v>215</v>
      </c>
      <c r="D9" s="6">
        <v>205</v>
      </c>
      <c r="E9" s="6">
        <v>82</v>
      </c>
      <c r="F9" s="6">
        <v>80</v>
      </c>
      <c r="G9" s="7">
        <v>65</v>
      </c>
    </row>
    <row r="10" spans="1:7" x14ac:dyDescent="0.3">
      <c r="A10" s="10">
        <v>2023</v>
      </c>
      <c r="B10" s="6" t="s">
        <v>2</v>
      </c>
      <c r="C10" s="6">
        <v>230</v>
      </c>
      <c r="D10" s="6">
        <v>220</v>
      </c>
      <c r="E10" s="6">
        <v>85</v>
      </c>
      <c r="F10" s="6">
        <v>83</v>
      </c>
      <c r="G10" s="7">
        <v>68</v>
      </c>
    </row>
    <row r="11" spans="1:7" x14ac:dyDescent="0.3">
      <c r="A11" s="11">
        <v>2024</v>
      </c>
      <c r="B11" s="8" t="s">
        <v>2</v>
      </c>
      <c r="C11" s="8">
        <v>250</v>
      </c>
      <c r="D11" s="8">
        <v>240</v>
      </c>
      <c r="E11" s="8">
        <v>88</v>
      </c>
      <c r="F11" s="8">
        <v>86</v>
      </c>
      <c r="G11" s="9">
        <v>72</v>
      </c>
    </row>
  </sheetData>
  <pageMargins left="0.34" right="0.17" top="0.75" bottom="0.75" header="0.3" footer="0.3"/>
  <pageSetup paperSize="9" scale="94" orientation="landscape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564F-00C2-4418-87A1-A9E491DD51FD}">
  <dimension ref="A1:B11"/>
  <sheetViews>
    <sheetView view="pageBreakPreview" zoomScale="192" zoomScaleNormal="100" workbookViewId="0">
      <selection activeCell="D9" sqref="D9"/>
    </sheetView>
  </sheetViews>
  <sheetFormatPr defaultRowHeight="14" x14ac:dyDescent="0.3"/>
  <cols>
    <col min="1" max="1" width="18.7265625" style="12" customWidth="1"/>
    <col min="2" max="2" width="13.81640625" style="3" customWidth="1"/>
    <col min="3" max="16384" width="8.7265625" style="3"/>
  </cols>
  <sheetData>
    <row r="1" spans="1:2" s="2" customFormat="1" ht="28" x14ac:dyDescent="0.35">
      <c r="A1" s="13" t="s">
        <v>3</v>
      </c>
      <c r="B1" s="14" t="s">
        <v>4</v>
      </c>
    </row>
    <row r="2" spans="1:2" x14ac:dyDescent="0.3">
      <c r="A2" s="15">
        <f>'Data &amp; Charts'!D2/'Data &amp; Charts'!C2</f>
        <v>0.91666666666666663</v>
      </c>
      <c r="B2" s="6">
        <f>Table1[[#This Row],[Target Coverage Percent]]-Table1[[#This Row],[Actual Coverage Percent]]</f>
        <v>5</v>
      </c>
    </row>
    <row r="3" spans="1:2" x14ac:dyDescent="0.3">
      <c r="A3" s="15">
        <f>'Data &amp; Charts'!D3/'Data &amp; Charts'!C3</f>
        <v>0.96153846153846156</v>
      </c>
      <c r="B3" s="6">
        <f>Table1[[#This Row],[Target Coverage Percent]]-Table1[[#This Row],[Actual Coverage Percent]]</f>
        <v>2</v>
      </c>
    </row>
    <row r="4" spans="1:2" x14ac:dyDescent="0.3">
      <c r="A4" s="15">
        <f>'Data &amp; Charts'!D4/'Data &amp; Charts'!C4</f>
        <v>0.9517241379310345</v>
      </c>
      <c r="B4" s="6">
        <f>Table1[[#This Row],[Target Coverage Percent]]-Table1[[#This Row],[Actual Coverage Percent]]</f>
        <v>1</v>
      </c>
    </row>
    <row r="5" spans="1:2" x14ac:dyDescent="0.3">
      <c r="A5" s="15">
        <f>'Data &amp; Charts'!D5/'Data &amp; Charts'!C5</f>
        <v>0.9375</v>
      </c>
      <c r="B5" s="6">
        <f>Table1[[#This Row],[Target Coverage Percent]]-Table1[[#This Row],[Actual Coverage Percent]]</f>
        <v>2</v>
      </c>
    </row>
    <row r="6" spans="1:2" x14ac:dyDescent="0.3">
      <c r="A6" s="15">
        <f>'Data &amp; Charts'!D6/'Data &amp; Charts'!C6</f>
        <v>0.97058823529411764</v>
      </c>
      <c r="B6" s="6">
        <f>Table1[[#This Row],[Target Coverage Percent]]-Table1[[#This Row],[Actual Coverage Percent]]</f>
        <v>2</v>
      </c>
    </row>
    <row r="7" spans="1:2" x14ac:dyDescent="0.3">
      <c r="A7" s="15">
        <f>'Data &amp; Charts'!D7/'Data &amp; Charts'!C7</f>
        <v>0.94594594594594594</v>
      </c>
      <c r="B7" s="6">
        <f>Table1[[#This Row],[Target Coverage Percent]]-Table1[[#This Row],[Actual Coverage Percent]]</f>
        <v>2</v>
      </c>
    </row>
    <row r="8" spans="1:2" x14ac:dyDescent="0.3">
      <c r="A8" s="15">
        <f>'Data &amp; Charts'!D8/'Data &amp; Charts'!C8</f>
        <v>0.95</v>
      </c>
      <c r="B8" s="6">
        <f>Table1[[#This Row],[Target Coverage Percent]]-Table1[[#This Row],[Actual Coverage Percent]]</f>
        <v>2</v>
      </c>
    </row>
    <row r="9" spans="1:2" x14ac:dyDescent="0.3">
      <c r="A9" s="15">
        <f>'Data &amp; Charts'!D9/'Data &amp; Charts'!C9</f>
        <v>0.95348837209302328</v>
      </c>
      <c r="B9" s="6">
        <f>Table1[[#This Row],[Target Coverage Percent]]-Table1[[#This Row],[Actual Coverage Percent]]</f>
        <v>2</v>
      </c>
    </row>
    <row r="10" spans="1:2" x14ac:dyDescent="0.3">
      <c r="A10" s="15">
        <f>'Data &amp; Charts'!D10/'Data &amp; Charts'!C10</f>
        <v>0.95652173913043481</v>
      </c>
      <c r="B10" s="6">
        <f>Table1[[#This Row],[Target Coverage Percent]]-Table1[[#This Row],[Actual Coverage Percent]]</f>
        <v>2</v>
      </c>
    </row>
    <row r="11" spans="1:2" x14ac:dyDescent="0.3">
      <c r="A11" s="15">
        <f>'Data &amp; Charts'!D11/'Data &amp; Charts'!C11</f>
        <v>0.96</v>
      </c>
      <c r="B11" s="6">
        <f>Table1[[#This Row],[Target Coverage Percent]]-Table1[[#This Row],[Actual Coverage Percent]]</f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&amp; Charts</vt:lpstr>
      <vt:lpstr>KPI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Girma</dc:creator>
  <cp:lastModifiedBy>Girma</cp:lastModifiedBy>
  <cp:lastPrinted>2026-01-22T18:43:52Z</cp:lastPrinted>
  <dcterms:created xsi:type="dcterms:W3CDTF">2026-01-22T18:12:49Z</dcterms:created>
  <dcterms:modified xsi:type="dcterms:W3CDTF">2026-01-22T18:49:00Z</dcterms:modified>
</cp:coreProperties>
</file>